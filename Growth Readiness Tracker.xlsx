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C:\Users\DeLL\Desktop\"/>
    </mc:Choice>
  </mc:AlternateContent>
  <bookViews>
    <workbookView xWindow="0" yWindow="0" windowWidth="20490" windowHeight="7755"/>
  </bookViews>
  <sheets>
    <sheet name="Dashboard" sheetId="3" r:id="rId1"/>
    <sheet name="Tracker" sheetId="2" r:id="rId2"/>
    <sheet name="Pivot" sheetId="5" r:id="rId3"/>
    <sheet name="Raw Data" sheetId="1" r:id="rId4"/>
  </sheets>
  <definedNames>
    <definedName name="Slicer_Month">#N/A</definedName>
  </definedNames>
  <calcPr calcId="152511"/>
  <pivotCaches>
    <pivotCache cacheId="2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4" i="2" l="1"/>
  <c r="O14" i="2"/>
  <c r="N14" i="2"/>
  <c r="M14" i="2"/>
  <c r="L14" i="2"/>
  <c r="K14" i="2"/>
  <c r="J14" i="2"/>
  <c r="I14" i="2"/>
  <c r="H14" i="2"/>
  <c r="G14" i="2"/>
  <c r="F14" i="2"/>
  <c r="E14" i="2"/>
  <c r="D14" i="2"/>
  <c r="C14" i="2"/>
  <c r="B14" i="2"/>
</calcChain>
</file>

<file path=xl/sharedStrings.xml><?xml version="1.0" encoding="utf-8"?>
<sst xmlns="http://schemas.openxmlformats.org/spreadsheetml/2006/main" count="34" uniqueCount="22">
  <si>
    <t>Month</t>
  </si>
  <si>
    <t>Website Traffic</t>
  </si>
  <si>
    <t>Conversion Rate (%)</t>
  </si>
  <si>
    <t>Repeat Purchase Rate (%)</t>
  </si>
  <si>
    <t>Inventory Available (%)</t>
  </si>
  <si>
    <t>Ad Spend Efficiency (₹/Order)</t>
  </si>
  <si>
    <t>Operational Capacity (%)</t>
  </si>
  <si>
    <t>Cash Flow (₹)</t>
  </si>
  <si>
    <t>Website Traffic Score</t>
  </si>
  <si>
    <t>Conversion Rate (%) Score</t>
  </si>
  <si>
    <t>Repeat Purchase Rate (%) Score</t>
  </si>
  <si>
    <t>Inventory Available (%) Score</t>
  </si>
  <si>
    <t>Ad Spend Efficiency (₹/Order) Score</t>
  </si>
  <si>
    <t>Operational Capacity (%) Score</t>
  </si>
  <si>
    <t>Cash Flow (₹) Score</t>
  </si>
  <si>
    <t>Average Score</t>
  </si>
  <si>
    <t>Grand Total</t>
  </si>
  <si>
    <t>Row Labels</t>
  </si>
  <si>
    <t>Sum of Website Traffic</t>
  </si>
  <si>
    <t>Sum of Conversion Rate (%)</t>
  </si>
  <si>
    <t>Sum of Repeat Purchase Rate (%)</t>
  </si>
  <si>
    <t>Average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</si>
</sst>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 #,##0.00_ ;_ * \-#,##0.00_ ;_ * &quot;-&quot;??_ ;_ @_ "/>
  </numFmts>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4"/>
        <bgColor theme="4"/>
      </patternFill>
    </fill>
  </fills>
  <borders count="11">
    <border>
      <left/>
      <right/>
      <top/>
      <bottom/>
      <diagonal/>
    </border>
    <border>
      <left style="thin">
        <color auto="1"/>
      </left>
      <right style="thin">
        <color auto="1"/>
      </right>
      <top style="thin">
        <color auto="1"/>
      </top>
      <bottom style="thin">
        <color auto="1"/>
      </bottom>
      <diagonal/>
    </border>
    <border>
      <left/>
      <right/>
      <top style="thin">
        <color theme="4"/>
      </top>
      <bottom/>
      <diagonal/>
    </border>
    <border>
      <left/>
      <right/>
      <top style="thin">
        <color theme="4"/>
      </top>
      <bottom style="thin">
        <color theme="4"/>
      </bottom>
      <diagonal/>
    </border>
    <border>
      <left style="thin">
        <color auto="1"/>
      </left>
      <right/>
      <top style="thin">
        <color auto="1"/>
      </top>
      <bottom/>
      <diagonal/>
    </border>
    <border>
      <left/>
      <right/>
      <top style="thin">
        <color auto="1"/>
      </top>
      <bottom/>
      <diagonal/>
    </border>
    <border>
      <left style="thin">
        <color auto="1"/>
      </left>
      <right/>
      <top style="thin">
        <color theme="4"/>
      </top>
      <bottom/>
      <diagonal/>
    </border>
    <border>
      <left style="thin">
        <color auto="1"/>
      </left>
      <right/>
      <top style="thin">
        <color auto="1"/>
      </top>
      <bottom style="thin">
        <color theme="4" tint="0.39997558519241921"/>
      </bottom>
      <diagonal/>
    </border>
    <border>
      <left style="thin">
        <color theme="4" tint="0.39997558519241921"/>
      </left>
      <right/>
      <top style="thin">
        <color theme="4"/>
      </top>
      <bottom style="thin">
        <color theme="4"/>
      </bottom>
      <diagonal/>
    </border>
    <border>
      <left style="thin">
        <color theme="4" tint="0.39997558519241921"/>
      </left>
      <right/>
      <top style="thin">
        <color auto="1"/>
      </top>
      <bottom/>
      <diagonal/>
    </border>
    <border>
      <left style="thin">
        <color theme="4" tint="0.39997558519241921"/>
      </left>
      <right/>
      <top style="thin">
        <color theme="4"/>
      </top>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2" xfId="0" applyFont="1" applyBorder="1" applyAlignment="1">
      <alignment horizontal="center"/>
    </xf>
    <xf numFmtId="0" fontId="0" fillId="0" borderId="3" xfId="0" applyFont="1" applyBorder="1" applyAlignment="1">
      <alignment horizontal="center"/>
    </xf>
    <xf numFmtId="2" fontId="0" fillId="0" borderId="3" xfId="0" applyNumberFormat="1" applyFont="1" applyBorder="1" applyAlignment="1">
      <alignment horizontal="center"/>
    </xf>
    <xf numFmtId="1" fontId="0" fillId="0" borderId="3" xfId="0" applyNumberFormat="1" applyFont="1" applyBorder="1" applyAlignment="1">
      <alignment horizontal="center"/>
    </xf>
    <xf numFmtId="2" fontId="0" fillId="0" borderId="2" xfId="0" applyNumberFormat="1" applyFont="1" applyBorder="1" applyAlignment="1">
      <alignment horizontal="center"/>
    </xf>
    <xf numFmtId="0" fontId="2" fillId="2" borderId="4" xfId="0" applyFont="1" applyFill="1" applyBorder="1" applyAlignment="1">
      <alignment horizontal="center" vertical="top"/>
    </xf>
    <xf numFmtId="0" fontId="0" fillId="0" borderId="5" xfId="0" applyFont="1" applyBorder="1" applyAlignment="1">
      <alignment horizontal="center"/>
    </xf>
    <xf numFmtId="2" fontId="0" fillId="0" borderId="5" xfId="0" applyNumberFormat="1" applyFont="1" applyBorder="1" applyAlignment="1">
      <alignment horizontal="center"/>
    </xf>
    <xf numFmtId="0" fontId="2" fillId="2" borderId="6" xfId="0" applyFont="1" applyFill="1" applyBorder="1" applyAlignment="1">
      <alignment horizontal="center"/>
    </xf>
    <xf numFmtId="1" fontId="0" fillId="0" borderId="2" xfId="0" applyNumberFormat="1" applyFont="1" applyBorder="1" applyAlignment="1">
      <alignment horizontal="center"/>
    </xf>
    <xf numFmtId="0" fontId="2" fillId="2" borderId="7" xfId="0" applyFont="1" applyFill="1" applyBorder="1" applyAlignment="1">
      <alignment horizontal="center" vertical="top"/>
    </xf>
    <xf numFmtId="1" fontId="0" fillId="0" borderId="5" xfId="0" applyNumberFormat="1" applyFont="1" applyBorder="1" applyAlignment="1">
      <alignment horizontal="center"/>
    </xf>
    <xf numFmtId="0" fontId="0" fillId="0" borderId="0" xfId="0" pivotButton="1" applyAlignment="1">
      <alignment horizontal="center"/>
    </xf>
    <xf numFmtId="0" fontId="0" fillId="0" borderId="0" xfId="0" applyNumberFormat="1" applyAlignment="1">
      <alignment horizontal="center"/>
    </xf>
    <xf numFmtId="17" fontId="0" fillId="0" borderId="0" xfId="0" applyNumberFormat="1" applyAlignment="1">
      <alignment horizontal="center"/>
    </xf>
    <xf numFmtId="0" fontId="0" fillId="0" borderId="9" xfId="0" applyFont="1" applyBorder="1" applyAlignment="1">
      <alignment horizontal="center"/>
    </xf>
    <xf numFmtId="0" fontId="0" fillId="0" borderId="10" xfId="0" applyFont="1" applyBorder="1" applyAlignment="1">
      <alignment horizontal="center"/>
    </xf>
    <xf numFmtId="0" fontId="0" fillId="0" borderId="8" xfId="0" applyFont="1" applyBorder="1" applyAlignment="1">
      <alignment horizontal="center"/>
    </xf>
    <xf numFmtId="0" fontId="0" fillId="0" borderId="0" xfId="0" pivotButton="1" applyAlignment="1">
      <alignment horizontal="center" vertical="center"/>
    </xf>
    <xf numFmtId="0" fontId="0" fillId="0" borderId="0" xfId="0" applyAlignment="1">
      <alignment horizontal="center" vertical="center"/>
    </xf>
    <xf numFmtId="17" fontId="0" fillId="0" borderId="0" xfId="0" applyNumberFormat="1" applyAlignment="1">
      <alignment horizontal="center" vertical="center"/>
    </xf>
    <xf numFmtId="43" fontId="0" fillId="0" borderId="0" xfId="0" applyNumberFormat="1" applyAlignment="1">
      <alignment horizontal="center" vertical="center"/>
    </xf>
    <xf numFmtId="17" fontId="1" fillId="0" borderId="0" xfId="0" applyNumberFormat="1" applyFont="1" applyAlignment="1">
      <alignment horizontal="center"/>
    </xf>
    <xf numFmtId="1" fontId="1" fillId="0" borderId="10" xfId="0" applyNumberFormat="1" applyFont="1" applyBorder="1" applyAlignment="1">
      <alignment horizontal="center"/>
    </xf>
    <xf numFmtId="2" fontId="1" fillId="0" borderId="10" xfId="0" applyNumberFormat="1" applyFont="1" applyBorder="1" applyAlignment="1">
      <alignment horizontal="center"/>
    </xf>
    <xf numFmtId="1" fontId="0" fillId="0" borderId="0" xfId="0" applyNumberFormat="1"/>
  </cellXfs>
  <cellStyles count="1">
    <cellStyle name="Normal" xfId="0" builtinId="0"/>
  </cellStyles>
  <dxfs count="61">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4"/>
        <name val="Calibri"/>
        <scheme val="minor"/>
      </font>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outline="0">
        <left style="thin">
          <color theme="4" tint="0.39997558519241921"/>
        </left>
        <right/>
        <top style="thin">
          <color theme="4"/>
        </top>
        <bottom/>
      </border>
    </dxf>
    <dxf>
      <numFmt numFmtId="22" formatCode="m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right/>
        <top style="thin">
          <color theme="4"/>
        </top>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35" formatCode="_ * #,##0.00_ ;_ * \-#,##0.00_ ;_ * &quot;-&quot;??_ ;_ @_ "/>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i val="0"/>
        <strike val="0"/>
        <condense val="0"/>
        <extend val="0"/>
        <outline val="0"/>
        <shadow val="0"/>
        <u val="none"/>
        <vertAlign val="baseline"/>
        <sz val="11"/>
        <color theme="0"/>
        <name val="Calibri"/>
        <scheme val="minor"/>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theme="4" tint="0.39997558519241921"/>
        </left>
        <right/>
        <top style="thin">
          <color theme="4"/>
        </top>
        <bottom/>
        <vertical/>
        <horizontal/>
      </border>
    </dxf>
    <dxf>
      <numFmt numFmtId="22" formatCode="mmm/yy"/>
      <alignment horizontal="center" vertical="bottom" textRotation="0" wrapText="0" indent="0" justifyLastLine="0" shrinkToFit="0" readingOrder="0"/>
    </dxf>
    <dxf>
      <border outline="0">
        <right style="thin">
          <color theme="4"/>
        </right>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[Growth Readiness Tracker.xlsx]Pivot!PivotTable5</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Website Traffic</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Pivot!$B$1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Pivot!$A$2:$A$14</c:f>
              <c:strCache>
                <c:ptCount val="12"/>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strCache>
            </c:strRef>
          </c:cat>
          <c:val>
            <c:numRef>
              <c:f>Pivot!$B$2:$B$14</c:f>
              <c:numCache>
                <c:formatCode>General</c:formatCode>
                <c:ptCount val="12"/>
                <c:pt idx="0">
                  <c:v>9732</c:v>
                </c:pt>
                <c:pt idx="1">
                  <c:v>9607</c:v>
                </c:pt>
                <c:pt idx="2">
                  <c:v>8653</c:v>
                </c:pt>
                <c:pt idx="3">
                  <c:v>10264</c:v>
                </c:pt>
                <c:pt idx="4">
                  <c:v>11931</c:v>
                </c:pt>
                <c:pt idx="5">
                  <c:v>11859</c:v>
                </c:pt>
                <c:pt idx="6">
                  <c:v>12827</c:v>
                </c:pt>
                <c:pt idx="7">
                  <c:v>14527</c:v>
                </c:pt>
                <c:pt idx="8">
                  <c:v>8033</c:v>
                </c:pt>
                <c:pt idx="9">
                  <c:v>14891</c:v>
                </c:pt>
                <c:pt idx="10">
                  <c:v>11373</c:v>
                </c:pt>
                <c:pt idx="11">
                  <c:v>12874</c:v>
                </c:pt>
              </c:numCache>
            </c:numRef>
          </c:val>
          <c:smooth val="0"/>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06134272"/>
        <c:axId val="1006135904"/>
      </c:lineChart>
      <c:catAx>
        <c:axId val="100613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006135904"/>
        <c:crosses val="autoZero"/>
        <c:auto val="1"/>
        <c:lblAlgn val="ctr"/>
        <c:lblOffset val="100"/>
        <c:noMultiLvlLbl val="0"/>
      </c:catAx>
      <c:valAx>
        <c:axId val="1006135904"/>
        <c:scaling>
          <c:orientation val="minMax"/>
        </c:scaling>
        <c:delete val="1"/>
        <c:axPos val="l"/>
        <c:numFmt formatCode="General" sourceLinked="1"/>
        <c:majorTickMark val="none"/>
        <c:minorTickMark val="none"/>
        <c:tickLblPos val="nextTo"/>
        <c:crossAx val="1006134272"/>
        <c:crosses val="autoZero"/>
        <c:crossBetween val="between"/>
      </c:valAx>
      <c:spPr>
        <a:noFill/>
        <a:ln>
          <a:noFill/>
        </a:ln>
        <a:effectLst/>
      </c:spPr>
    </c:plotArea>
    <c:plotVisOnly val="1"/>
    <c:dispBlanksAs val="gap"/>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[Growth Readiness Tracker.xlsx]Pivot!PivotTable6</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Conversion</a:t>
            </a:r>
            <a:r>
              <a:rPr lang="en-US" baseline="0"/>
              <a:t> rate %</a:t>
            </a:r>
            <a:endParaRPr lang="en-US"/>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Pivot!$E$1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Pivot!$D$2:$D$14</c:f>
              <c:strCache>
                <c:ptCount val="12"/>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strCache>
            </c:strRef>
          </c:cat>
          <c:val>
            <c:numRef>
              <c:f>Pivot!$E$2:$E$14</c:f>
              <c:numCache>
                <c:formatCode>General</c:formatCode>
                <c:ptCount val="12"/>
                <c:pt idx="0">
                  <c:v>2.59</c:v>
                </c:pt>
                <c:pt idx="1">
                  <c:v>3.73</c:v>
                </c:pt>
                <c:pt idx="2">
                  <c:v>3.91</c:v>
                </c:pt>
                <c:pt idx="3">
                  <c:v>2.46</c:v>
                </c:pt>
                <c:pt idx="4">
                  <c:v>3.48</c:v>
                </c:pt>
                <c:pt idx="5">
                  <c:v>2.82</c:v>
                </c:pt>
                <c:pt idx="6">
                  <c:v>2.92</c:v>
                </c:pt>
                <c:pt idx="7">
                  <c:v>3.81</c:v>
                </c:pt>
                <c:pt idx="8">
                  <c:v>1.68</c:v>
                </c:pt>
                <c:pt idx="9">
                  <c:v>1.72</c:v>
                </c:pt>
                <c:pt idx="10">
                  <c:v>1.55</c:v>
                </c:pt>
                <c:pt idx="11">
                  <c:v>3.58</c:v>
                </c:pt>
              </c:numCache>
            </c:numRef>
          </c:val>
          <c:smooth val="0"/>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02353632"/>
        <c:axId val="1002355808"/>
      </c:lineChart>
      <c:catAx>
        <c:axId val="1002353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002355808"/>
        <c:crosses val="autoZero"/>
        <c:auto val="1"/>
        <c:lblAlgn val="ctr"/>
        <c:lblOffset val="100"/>
        <c:noMultiLvlLbl val="0"/>
      </c:catAx>
      <c:valAx>
        <c:axId val="1002355808"/>
        <c:scaling>
          <c:orientation val="minMax"/>
        </c:scaling>
        <c:delete val="1"/>
        <c:axPos val="l"/>
        <c:numFmt formatCode="General" sourceLinked="1"/>
        <c:majorTickMark val="none"/>
        <c:minorTickMark val="none"/>
        <c:tickLblPos val="nextTo"/>
        <c:crossAx val="1002353632"/>
        <c:crosses val="autoZero"/>
        <c:crossBetween val="between"/>
      </c:valAx>
      <c:spPr>
        <a:noFill/>
        <a:ln>
          <a:noFill/>
        </a:ln>
        <a:effectLst/>
      </c:spPr>
    </c:plotArea>
    <c:plotVisOnly val="1"/>
    <c:dispBlanksAs val="gap"/>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[Growth Readiness Tracker.xlsx]Pivot!PivotTable7</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Repeat</a:t>
            </a:r>
            <a:r>
              <a:rPr lang="en-US" baseline="0"/>
              <a:t> Purchase Rate %</a:t>
            </a:r>
            <a:endParaRPr lang="en-US"/>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Pivot!$H$1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Pivot!$G$2:$G$14</c:f>
              <c:strCache>
                <c:ptCount val="12"/>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strCache>
            </c:strRef>
          </c:cat>
          <c:val>
            <c:numRef>
              <c:f>Pivot!$H$2:$H$14</c:f>
              <c:numCache>
                <c:formatCode>_(* #,##0.00_);_(* \(#,##0.00\);_(* "-"??_);_(@_)</c:formatCode>
                <c:ptCount val="12"/>
                <c:pt idx="0">
                  <c:v>30.6</c:v>
                </c:pt>
                <c:pt idx="1">
                  <c:v>32.4</c:v>
                </c:pt>
                <c:pt idx="2">
                  <c:v>34.6</c:v>
                </c:pt>
                <c:pt idx="3">
                  <c:v>31</c:v>
                </c:pt>
                <c:pt idx="4">
                  <c:v>24.2</c:v>
                </c:pt>
                <c:pt idx="5">
                  <c:v>30.6</c:v>
                </c:pt>
                <c:pt idx="6">
                  <c:v>17.399999999999999</c:v>
                </c:pt>
                <c:pt idx="7">
                  <c:v>27.8</c:v>
                </c:pt>
                <c:pt idx="8">
                  <c:v>17.899999999999999</c:v>
                </c:pt>
                <c:pt idx="9">
                  <c:v>33.9</c:v>
                </c:pt>
                <c:pt idx="10">
                  <c:v>25.4</c:v>
                </c:pt>
                <c:pt idx="11">
                  <c:v>23.3</c:v>
                </c:pt>
              </c:numCache>
            </c:numRef>
          </c:val>
          <c:smooth val="0"/>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45846576"/>
        <c:axId val="945847664"/>
      </c:lineChart>
      <c:catAx>
        <c:axId val="945846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945847664"/>
        <c:crosses val="autoZero"/>
        <c:auto val="1"/>
        <c:lblAlgn val="ctr"/>
        <c:lblOffset val="100"/>
        <c:noMultiLvlLbl val="0"/>
      </c:catAx>
      <c:valAx>
        <c:axId val="945847664"/>
        <c:scaling>
          <c:orientation val="minMax"/>
        </c:scaling>
        <c:delete val="1"/>
        <c:axPos val="l"/>
        <c:numFmt formatCode="_(* #,##0.00_);_(* \(#,##0.00\);_(* &quot;-&quot;??_);_(@_)" sourceLinked="1"/>
        <c:majorTickMark val="none"/>
        <c:minorTickMark val="none"/>
        <c:tickLblPos val="nextTo"/>
        <c:crossAx val="945846576"/>
        <c:crosses val="autoZero"/>
        <c:crossBetween val="between"/>
      </c:valAx>
      <c:spPr>
        <a:noFill/>
        <a:ln>
          <a:noFill/>
        </a:ln>
        <a:effectLst/>
      </c:spPr>
    </c:plotArea>
    <c:plotVisOnly val="1"/>
    <c:dispBlanksAs val="gap"/>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57151</xdr:rowOff>
    </xdr:from>
    <xdr:to>
      <xdr:col>20</xdr:col>
      <xdr:colOff>266699</xdr:colOff>
      <xdr:row>26</xdr:row>
      <xdr:rowOff>133351</xdr:rowOff>
    </xdr:to>
    <xdr:sp macro="" textlink="">
      <xdr:nvSpPr>
        <xdr:cNvPr id="2" name="Rounded Rectangle 1"/>
        <xdr:cNvSpPr/>
      </xdr:nvSpPr>
      <xdr:spPr>
        <a:xfrm>
          <a:off x="133350" y="57151"/>
          <a:ext cx="12325349" cy="5029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7</xdr:row>
      <xdr:rowOff>57150</xdr:rowOff>
    </xdr:from>
    <xdr:to>
      <xdr:col>2</xdr:col>
      <xdr:colOff>200028</xdr:colOff>
      <xdr:row>11</xdr:row>
      <xdr:rowOff>161926</xdr:rowOff>
    </xdr:to>
    <xdr:sp macro="" textlink="">
      <xdr:nvSpPr>
        <xdr:cNvPr id="3" name="Round Single Corner Rectangle 2"/>
        <xdr:cNvSpPr/>
      </xdr:nvSpPr>
      <xdr:spPr>
        <a:xfrm rot="16200000">
          <a:off x="371476" y="447674"/>
          <a:ext cx="866776" cy="1228728"/>
        </a:xfrm>
        <a:prstGeom prst="round1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200025</xdr:colOff>
      <xdr:row>12</xdr:row>
      <xdr:rowOff>133350</xdr:rowOff>
    </xdr:from>
    <xdr:to>
      <xdr:col>2</xdr:col>
      <xdr:colOff>209553</xdr:colOff>
      <xdr:row>17</xdr:row>
      <xdr:rowOff>47626</xdr:rowOff>
    </xdr:to>
    <xdr:sp macro="" textlink="">
      <xdr:nvSpPr>
        <xdr:cNvPr id="6" name="Round Single Corner Rectangle 5"/>
        <xdr:cNvSpPr/>
      </xdr:nvSpPr>
      <xdr:spPr>
        <a:xfrm rot="16200000">
          <a:off x="381001" y="1476374"/>
          <a:ext cx="866776" cy="1228728"/>
        </a:xfrm>
        <a:prstGeom prst="round1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209550</xdr:colOff>
      <xdr:row>18</xdr:row>
      <xdr:rowOff>19050</xdr:rowOff>
    </xdr:from>
    <xdr:to>
      <xdr:col>2</xdr:col>
      <xdr:colOff>219078</xdr:colOff>
      <xdr:row>22</xdr:row>
      <xdr:rowOff>123826</xdr:rowOff>
    </xdr:to>
    <xdr:sp macro="" textlink="">
      <xdr:nvSpPr>
        <xdr:cNvPr id="7" name="Round Single Corner Rectangle 6"/>
        <xdr:cNvSpPr/>
      </xdr:nvSpPr>
      <xdr:spPr>
        <a:xfrm rot="16200000">
          <a:off x="390526" y="2505074"/>
          <a:ext cx="866776" cy="1228728"/>
        </a:xfrm>
        <a:prstGeom prst="round1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295275</xdr:colOff>
      <xdr:row>9</xdr:row>
      <xdr:rowOff>9525</xdr:rowOff>
    </xdr:from>
    <xdr:to>
      <xdr:col>2</xdr:col>
      <xdr:colOff>104775</xdr:colOff>
      <xdr:row>10</xdr:row>
      <xdr:rowOff>161925</xdr:rowOff>
    </xdr:to>
    <xdr:sp macro="" textlink="Pivot!$B$2:$B$13">
      <xdr:nvSpPr>
        <xdr:cNvPr id="10" name="TextBox 9"/>
        <xdr:cNvSpPr txBox="1"/>
      </xdr:nvSpPr>
      <xdr:spPr>
        <a:xfrm>
          <a:off x="295275" y="962025"/>
          <a:ext cx="1028700" cy="34290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marL="0" indent="0" algn="ctr"/>
          <a:fld id="{0A73749F-BE53-4564-A52B-CAB9802D5A5E}" type="TxLink">
            <a:rPr lang="en-US" sz="1400" b="1" i="0" u="none" strike="noStrike">
              <a:solidFill>
                <a:schemeClr val="tx2"/>
              </a:solidFill>
              <a:latin typeface="Calibri"/>
              <a:ea typeface="+mn-ea"/>
              <a:cs typeface="Calibri"/>
            </a:rPr>
            <a:pPr marL="0" indent="0" algn="ctr"/>
            <a:t>9732</a:t>
          </a:fld>
          <a:endParaRPr lang="en-US" sz="1400" b="1" i="0" u="none" strike="noStrike">
            <a:solidFill>
              <a:schemeClr val="tx2"/>
            </a:solidFill>
            <a:latin typeface="Calibri"/>
            <a:ea typeface="+mn-ea"/>
            <a:cs typeface="Calibri"/>
          </a:endParaRPr>
        </a:p>
      </xdr:txBody>
    </xdr:sp>
    <xdr:clientData/>
  </xdr:twoCellAnchor>
  <xdr:twoCellAnchor>
    <xdr:from>
      <xdr:col>0</xdr:col>
      <xdr:colOff>276225</xdr:colOff>
      <xdr:row>7</xdr:row>
      <xdr:rowOff>104775</xdr:rowOff>
    </xdr:from>
    <xdr:to>
      <xdr:col>2</xdr:col>
      <xdr:colOff>142875</xdr:colOff>
      <xdr:row>8</xdr:row>
      <xdr:rowOff>114300</xdr:rowOff>
    </xdr:to>
    <xdr:sp macro="" textlink="">
      <xdr:nvSpPr>
        <xdr:cNvPr id="11" name="TextBox 10"/>
        <xdr:cNvSpPr txBox="1"/>
      </xdr:nvSpPr>
      <xdr:spPr>
        <a:xfrm>
          <a:off x="276225" y="676275"/>
          <a:ext cx="1085850" cy="200025"/>
        </a:xfrm>
        <a:prstGeom prst="rect">
          <a:avLst/>
        </a:prstGeom>
        <a:solidFill>
          <a:schemeClr val="tx2">
            <a:lumMod val="20000"/>
            <a:lumOff val="80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100" b="1" i="0" u="none" strike="noStrike">
              <a:solidFill>
                <a:schemeClr val="tx2"/>
              </a:solidFill>
              <a:effectLst/>
              <a:latin typeface="+mn-lt"/>
              <a:ea typeface="+mn-ea"/>
              <a:cs typeface="+mn-cs"/>
            </a:rPr>
            <a:t>Website Traffic</a:t>
          </a:r>
          <a:endParaRPr lang="en-IN" sz="1100">
            <a:solidFill>
              <a:schemeClr val="tx2"/>
            </a:solidFill>
          </a:endParaRPr>
        </a:p>
      </xdr:txBody>
    </xdr:sp>
    <xdr:clientData/>
  </xdr:twoCellAnchor>
  <xdr:twoCellAnchor>
    <xdr:from>
      <xdr:col>0</xdr:col>
      <xdr:colOff>276225</xdr:colOff>
      <xdr:row>13</xdr:row>
      <xdr:rowOff>9526</xdr:rowOff>
    </xdr:from>
    <xdr:to>
      <xdr:col>2</xdr:col>
      <xdr:colOff>142875</xdr:colOff>
      <xdr:row>14</xdr:row>
      <xdr:rowOff>9526</xdr:rowOff>
    </xdr:to>
    <xdr:sp macro="" textlink="">
      <xdr:nvSpPr>
        <xdr:cNvPr id="12" name="TextBox 11"/>
        <xdr:cNvSpPr txBox="1"/>
      </xdr:nvSpPr>
      <xdr:spPr>
        <a:xfrm>
          <a:off x="276225" y="1724026"/>
          <a:ext cx="1085850" cy="190500"/>
        </a:xfrm>
        <a:prstGeom prst="rect">
          <a:avLst/>
        </a:prstGeom>
        <a:solidFill>
          <a:schemeClr val="tx2">
            <a:lumMod val="20000"/>
            <a:lumOff val="80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IN" sz="1000" b="1" i="0" u="none" strike="noStrike">
              <a:solidFill>
                <a:schemeClr val="tx2"/>
              </a:solidFill>
              <a:effectLst/>
              <a:latin typeface="+mn-lt"/>
              <a:ea typeface="+mn-ea"/>
              <a:cs typeface="+mn-cs"/>
            </a:rPr>
            <a:t>Conversion Rate</a:t>
          </a:r>
          <a:r>
            <a:rPr lang="en-IN" sz="1000">
              <a:solidFill>
                <a:schemeClr val="tx2"/>
              </a:solidFill>
            </a:rPr>
            <a:t> </a:t>
          </a:r>
        </a:p>
      </xdr:txBody>
    </xdr:sp>
    <xdr:clientData/>
  </xdr:twoCellAnchor>
  <xdr:twoCellAnchor>
    <xdr:from>
      <xdr:col>0</xdr:col>
      <xdr:colOff>304800</xdr:colOff>
      <xdr:row>14</xdr:row>
      <xdr:rowOff>123825</xdr:rowOff>
    </xdr:from>
    <xdr:to>
      <xdr:col>2</xdr:col>
      <xdr:colOff>114300</xdr:colOff>
      <xdr:row>16</xdr:row>
      <xdr:rowOff>85725</xdr:rowOff>
    </xdr:to>
    <xdr:sp macro="" textlink="Pivot!E2:E13">
      <xdr:nvSpPr>
        <xdr:cNvPr id="13" name="TextBox 12"/>
        <xdr:cNvSpPr txBox="1"/>
      </xdr:nvSpPr>
      <xdr:spPr>
        <a:xfrm>
          <a:off x="304800" y="2028825"/>
          <a:ext cx="1028700" cy="34290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marL="0" indent="0" algn="ctr"/>
          <a:fld id="{F3F3763A-800D-4FB2-AC25-00DCAE0ACC83}" type="TxLink">
            <a:rPr lang="en-US" sz="1400" b="1" i="0" u="none" strike="noStrike">
              <a:solidFill>
                <a:schemeClr val="tx2"/>
              </a:solidFill>
              <a:latin typeface="Calibri"/>
              <a:ea typeface="+mn-ea"/>
              <a:cs typeface="Calibri"/>
            </a:rPr>
            <a:pPr marL="0" indent="0" algn="ctr"/>
            <a:t>2.59</a:t>
          </a:fld>
          <a:endParaRPr lang="en-IN" sz="1400" b="1" i="0" u="none" strike="noStrike">
            <a:solidFill>
              <a:schemeClr val="tx2"/>
            </a:solidFill>
            <a:latin typeface="Calibri"/>
            <a:ea typeface="+mn-ea"/>
            <a:cs typeface="Calibri"/>
          </a:endParaRPr>
        </a:p>
      </xdr:txBody>
    </xdr:sp>
    <xdr:clientData/>
  </xdr:twoCellAnchor>
  <xdr:twoCellAnchor>
    <xdr:from>
      <xdr:col>0</xdr:col>
      <xdr:colOff>285750</xdr:colOff>
      <xdr:row>18</xdr:row>
      <xdr:rowOff>66674</xdr:rowOff>
    </xdr:from>
    <xdr:to>
      <xdr:col>2</xdr:col>
      <xdr:colOff>152400</xdr:colOff>
      <xdr:row>20</xdr:row>
      <xdr:rowOff>95249</xdr:rowOff>
    </xdr:to>
    <xdr:sp macro="" textlink="">
      <xdr:nvSpPr>
        <xdr:cNvPr id="15" name="TextBox 14"/>
        <xdr:cNvSpPr txBox="1"/>
      </xdr:nvSpPr>
      <xdr:spPr>
        <a:xfrm>
          <a:off x="285750" y="2733674"/>
          <a:ext cx="1085850" cy="409575"/>
        </a:xfrm>
        <a:prstGeom prst="rect">
          <a:avLst/>
        </a:prstGeom>
        <a:solidFill>
          <a:schemeClr val="tx2">
            <a:lumMod val="20000"/>
            <a:lumOff val="80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000" b="1" i="0" u="none" strike="noStrike">
              <a:solidFill>
                <a:schemeClr val="tx2"/>
              </a:solidFill>
              <a:effectLst/>
              <a:latin typeface="+mn-lt"/>
              <a:ea typeface="+mn-ea"/>
              <a:cs typeface="+mn-cs"/>
            </a:rPr>
            <a:t>Repeat Purchase Rate (%)</a:t>
          </a:r>
          <a:r>
            <a:rPr lang="en-IN" sz="1000">
              <a:solidFill>
                <a:schemeClr val="tx2"/>
              </a:solidFill>
            </a:rPr>
            <a:t> </a:t>
          </a:r>
        </a:p>
      </xdr:txBody>
    </xdr:sp>
    <xdr:clientData/>
  </xdr:twoCellAnchor>
  <xdr:twoCellAnchor>
    <xdr:from>
      <xdr:col>0</xdr:col>
      <xdr:colOff>314325</xdr:colOff>
      <xdr:row>20</xdr:row>
      <xdr:rowOff>47625</xdr:rowOff>
    </xdr:from>
    <xdr:to>
      <xdr:col>2</xdr:col>
      <xdr:colOff>123825</xdr:colOff>
      <xdr:row>22</xdr:row>
      <xdr:rowOff>9525</xdr:rowOff>
    </xdr:to>
    <xdr:sp macro="" textlink="Pivot!H2:H13">
      <xdr:nvSpPr>
        <xdr:cNvPr id="16" name="TextBox 15"/>
        <xdr:cNvSpPr txBox="1"/>
      </xdr:nvSpPr>
      <xdr:spPr>
        <a:xfrm>
          <a:off x="314325" y="3095625"/>
          <a:ext cx="1028700" cy="34290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marL="0" indent="0" algn="ctr"/>
          <a:fld id="{E672F3CB-1971-4C51-AB23-82A96343D127}" type="TxLink">
            <a:rPr lang="en-US" sz="1400" b="1" i="0" u="none" strike="noStrike">
              <a:solidFill>
                <a:schemeClr val="tx2"/>
              </a:solidFill>
              <a:latin typeface="Calibri"/>
              <a:ea typeface="+mn-ea"/>
              <a:cs typeface="Calibri"/>
            </a:rPr>
            <a:pPr marL="0" indent="0" algn="ctr"/>
            <a:t> 30.60 </a:t>
          </a:fld>
          <a:endParaRPr lang="en-IN" sz="1400" b="1" i="0" u="none" strike="noStrike">
            <a:solidFill>
              <a:schemeClr val="tx2"/>
            </a:solidFill>
            <a:latin typeface="Calibri"/>
            <a:ea typeface="+mn-ea"/>
            <a:cs typeface="Calibri"/>
          </a:endParaRPr>
        </a:p>
      </xdr:txBody>
    </xdr:sp>
    <xdr:clientData/>
  </xdr:twoCellAnchor>
  <xdr:twoCellAnchor>
    <xdr:from>
      <xdr:col>2</xdr:col>
      <xdr:colOff>414618</xdr:colOff>
      <xdr:row>0</xdr:row>
      <xdr:rowOff>156882</xdr:rowOff>
    </xdr:from>
    <xdr:to>
      <xdr:col>17</xdr:col>
      <xdr:colOff>280147</xdr:colOff>
      <xdr:row>4</xdr:row>
      <xdr:rowOff>78441</xdr:rowOff>
    </xdr:to>
    <xdr:sp macro="" textlink="">
      <xdr:nvSpPr>
        <xdr:cNvPr id="23" name="Rounded Rectangle 22"/>
        <xdr:cNvSpPr/>
      </xdr:nvSpPr>
      <xdr:spPr>
        <a:xfrm>
          <a:off x="1624853" y="156882"/>
          <a:ext cx="8942294" cy="683559"/>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1"/>
              </a:solidFill>
              <a:latin typeface="Arial Black" panose="020B0A04020102020204" pitchFamily="34" charset="0"/>
            </a:rPr>
            <a:t>Key Metrics Dashboard</a:t>
          </a:r>
        </a:p>
      </xdr:txBody>
    </xdr:sp>
    <xdr:clientData/>
  </xdr:twoCellAnchor>
  <xdr:twoCellAnchor>
    <xdr:from>
      <xdr:col>2</xdr:col>
      <xdr:colOff>346262</xdr:colOff>
      <xdr:row>4</xdr:row>
      <xdr:rowOff>45945</xdr:rowOff>
    </xdr:from>
    <xdr:to>
      <xdr:col>10</xdr:col>
      <xdr:colOff>77321</xdr:colOff>
      <xdr:row>17</xdr:row>
      <xdr:rowOff>78441</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77322</xdr:colOff>
      <xdr:row>4</xdr:row>
      <xdr:rowOff>45945</xdr:rowOff>
    </xdr:from>
    <xdr:to>
      <xdr:col>17</xdr:col>
      <xdr:colOff>413498</xdr:colOff>
      <xdr:row>17</xdr:row>
      <xdr:rowOff>78441</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493059</xdr:colOff>
      <xdr:row>17</xdr:row>
      <xdr:rowOff>145676</xdr:rowOff>
    </xdr:from>
    <xdr:to>
      <xdr:col>16</xdr:col>
      <xdr:colOff>493059</xdr:colOff>
      <xdr:row>26</xdr:row>
      <xdr:rowOff>87405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0</xdr:colOff>
      <xdr:row>4</xdr:row>
      <xdr:rowOff>0</xdr:rowOff>
    </xdr:from>
    <xdr:to>
      <xdr:col>20</xdr:col>
      <xdr:colOff>13447</xdr:colOff>
      <xdr:row>24</xdr:row>
      <xdr:rowOff>0</xdr:rowOff>
    </xdr:to>
    <mc:AlternateContent xmlns:mc="http://schemas.openxmlformats.org/markup-compatibility/2006">
      <mc:Choice xmlns:a14="http://schemas.microsoft.com/office/drawing/2010/main" Requires="a14">
        <xdr:graphicFrame macro="">
          <xdr:nvGraphicFramePr>
            <xdr:cNvPr id="27"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0892118" y="762000"/>
              <a:ext cx="1223682" cy="381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850.607742129629" createdVersion="5" refreshedVersion="5" minRefreshableVersion="3" recordCount="12">
  <cacheSource type="worksheet">
    <worksheetSource name="Table3"/>
  </cacheSource>
  <cacheFields count="16">
    <cacheField name="Month" numFmtId="17">
      <sharedItems containsSemiMixedTypes="0" containsNonDate="0" containsDate="1" containsString="0" minDate="2024-07-01T00:00:00" maxDate="2025-06-02T00:00:00" count="12">
        <d v="2024-07-01T00:00:00"/>
        <d v="2024-08-01T00:00:00"/>
        <d v="2024-09-01T00:00:00"/>
        <d v="2024-10-01T00:00:00"/>
        <d v="2024-11-01T00:00:00"/>
        <d v="2024-12-01T00:00:00"/>
        <d v="2025-01-01T00:00:00"/>
        <d v="2025-02-01T00:00:00"/>
        <d v="2025-03-01T00:00:00"/>
        <d v="2025-04-01T00:00:00"/>
        <d v="2025-05-01T00:00:00"/>
        <d v="2025-06-01T00:00:00"/>
      </sharedItems>
    </cacheField>
    <cacheField name="Website Traffic" numFmtId="0">
      <sharedItems containsSemiMixedTypes="0" containsString="0" containsNumber="1" containsInteger="1" minValue="8033" maxValue="14891"/>
    </cacheField>
    <cacheField name="Conversion Rate (%)" numFmtId="2">
      <sharedItems containsSemiMixedTypes="0" containsString="0" containsNumber="1" minValue="1.55" maxValue="3.91"/>
    </cacheField>
    <cacheField name="Repeat Purchase Rate (%)" numFmtId="2">
      <sharedItems containsSemiMixedTypes="0" containsString="0" containsNumber="1" minValue="17.399999999999999" maxValue="34.6"/>
    </cacheField>
    <cacheField name="Inventory Available (%)" numFmtId="2">
      <sharedItems containsSemiMixedTypes="0" containsString="0" containsNumber="1" minValue="60.8" maxValue="97.7"/>
    </cacheField>
    <cacheField name="Ad Spend Efficiency (₹/Order)" numFmtId="0">
      <sharedItems containsSemiMixedTypes="0" containsString="0" containsNumber="1" containsInteger="1" minValue="303" maxValue="571"/>
    </cacheField>
    <cacheField name="Operational Capacity (%)" numFmtId="2">
      <sharedItems containsSemiMixedTypes="0" containsString="0" containsNumber="1" minValue="64.099999999999994" maxValue="99.5"/>
    </cacheField>
    <cacheField name="Cash Flow (₹)" numFmtId="0">
      <sharedItems containsSemiMixedTypes="0" containsString="0" containsNumber="1" containsInteger="1" minValue="120133" maxValue="186752"/>
    </cacheField>
    <cacheField name="Website Traffic Score" numFmtId="0">
      <sharedItems containsSemiMixedTypes="0" containsString="0" containsNumber="1" containsInteger="1" minValue="8" maxValue="10"/>
    </cacheField>
    <cacheField name="Conversion Rate (%) Score" numFmtId="0">
      <sharedItems containsSemiMixedTypes="0" containsString="0" containsNumber="1" containsInteger="1" minValue="5" maxValue="10"/>
    </cacheField>
    <cacheField name="Repeat Purchase Rate (%) Score" numFmtId="0">
      <sharedItems containsSemiMixedTypes="0" containsString="0" containsNumber="1" containsInteger="1" minValue="6" maxValue="10"/>
    </cacheField>
    <cacheField name="Inventory Available (%) Score" numFmtId="0">
      <sharedItems containsSemiMixedTypes="0" containsString="0" containsNumber="1" containsInteger="1" minValue="6" maxValue="10"/>
    </cacheField>
    <cacheField name="Ad Spend Efficiency (₹/Order) Score" numFmtId="0">
      <sharedItems containsSemiMixedTypes="0" containsString="0" containsNumber="1" containsInteger="1" minValue="5" maxValue="10"/>
    </cacheField>
    <cacheField name="Operational Capacity (%) Score" numFmtId="0">
      <sharedItems containsSemiMixedTypes="0" containsString="0" containsNumber="1" containsInteger="1" minValue="7" maxValue="10"/>
    </cacheField>
    <cacheField name="Cash Flow (₹) Score" numFmtId="0">
      <sharedItems containsSemiMixedTypes="0" containsString="0" containsNumber="1" containsInteger="1" minValue="8" maxValue="10"/>
    </cacheField>
    <cacheField name="Average Score" numFmtId="2">
      <sharedItems containsSemiMixedTypes="0" containsString="0" containsNumber="1" minValue="8.14" maxValue="9.57"/>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2">
  <r>
    <x v="0"/>
    <n v="9732"/>
    <n v="2.59"/>
    <n v="30.6"/>
    <n v="70.599999999999994"/>
    <n v="571"/>
    <n v="99.5"/>
    <n v="160041"/>
    <n v="10"/>
    <n v="9"/>
    <n v="10"/>
    <n v="7"/>
    <n v="5"/>
    <n v="10"/>
    <n v="10"/>
    <n v="8.7100000000000009"/>
  </r>
  <r>
    <x v="1"/>
    <n v="9607"/>
    <n v="3.73"/>
    <n v="32.4"/>
    <n v="91"/>
    <n v="307"/>
    <n v="64.099999999999994"/>
    <n v="151331"/>
    <n v="10"/>
    <n v="10"/>
    <n v="10"/>
    <n v="10"/>
    <n v="10"/>
    <n v="7"/>
    <n v="10"/>
    <n v="9.57"/>
  </r>
  <r>
    <x v="2"/>
    <n v="8653"/>
    <n v="3.91"/>
    <n v="34.6"/>
    <n v="78.2"/>
    <n v="541"/>
    <n v="68.400000000000006"/>
    <n v="130624"/>
    <n v="9"/>
    <n v="10"/>
    <n v="10"/>
    <n v="8"/>
    <n v="6"/>
    <n v="8"/>
    <n v="9"/>
    <n v="8.57"/>
  </r>
  <r>
    <x v="3"/>
    <n v="10264"/>
    <n v="2.46"/>
    <n v="31"/>
    <n v="82.7"/>
    <n v="369"/>
    <n v="66.5"/>
    <n v="169183"/>
    <n v="10"/>
    <n v="8"/>
    <n v="10"/>
    <n v="9"/>
    <n v="8"/>
    <n v="7"/>
    <n v="10"/>
    <n v="8.86"/>
  </r>
  <r>
    <x v="4"/>
    <n v="11931"/>
    <n v="3.48"/>
    <n v="24.2"/>
    <n v="60.8"/>
    <n v="517"/>
    <n v="86.1"/>
    <n v="120133"/>
    <n v="10"/>
    <n v="10"/>
    <n v="8"/>
    <n v="6"/>
    <n v="6"/>
    <n v="10"/>
    <n v="8"/>
    <n v="8.2899999999999991"/>
  </r>
  <r>
    <x v="5"/>
    <n v="11859"/>
    <n v="2.82"/>
    <n v="30.6"/>
    <n v="84.7"/>
    <n v="332"/>
    <n v="70.099999999999994"/>
    <n v="173790"/>
    <n v="10"/>
    <n v="9"/>
    <n v="10"/>
    <n v="9"/>
    <n v="9"/>
    <n v="8"/>
    <n v="10"/>
    <n v="9.2899999999999991"/>
  </r>
  <r>
    <x v="6"/>
    <n v="12827"/>
    <n v="2.92"/>
    <n v="17.399999999999999"/>
    <n v="84.5"/>
    <n v="341"/>
    <n v="78.7"/>
    <n v="186752"/>
    <n v="10"/>
    <n v="10"/>
    <n v="6"/>
    <n v="9"/>
    <n v="9"/>
    <n v="9"/>
    <n v="10"/>
    <n v="9"/>
  </r>
  <r>
    <x v="7"/>
    <n v="14527"/>
    <n v="3.81"/>
    <n v="27.8"/>
    <n v="84.7"/>
    <n v="349"/>
    <n v="69.8"/>
    <n v="135153"/>
    <n v="10"/>
    <n v="10"/>
    <n v="9"/>
    <n v="9"/>
    <n v="9"/>
    <n v="8"/>
    <n v="9"/>
    <n v="9.14"/>
  </r>
  <r>
    <x v="8"/>
    <n v="8033"/>
    <n v="1.68"/>
    <n v="17.899999999999999"/>
    <n v="97.7"/>
    <n v="303"/>
    <n v="66.400000000000006"/>
    <n v="182066"/>
    <n v="8"/>
    <n v="6"/>
    <n v="6"/>
    <n v="10"/>
    <n v="10"/>
    <n v="7"/>
    <n v="10"/>
    <n v="8.14"/>
  </r>
  <r>
    <x v="9"/>
    <n v="14891"/>
    <n v="1.72"/>
    <n v="33.9"/>
    <n v="87.3"/>
    <n v="371"/>
    <n v="64.400000000000006"/>
    <n v="142756"/>
    <n v="10"/>
    <n v="6"/>
    <n v="10"/>
    <n v="9"/>
    <n v="8"/>
    <n v="7"/>
    <n v="10"/>
    <n v="8.57"/>
  </r>
  <r>
    <x v="10"/>
    <n v="11373"/>
    <n v="1.55"/>
    <n v="25.4"/>
    <n v="74.400000000000006"/>
    <n v="334"/>
    <n v="86.3"/>
    <n v="170928"/>
    <n v="10"/>
    <n v="5"/>
    <n v="8"/>
    <n v="8"/>
    <n v="9"/>
    <n v="10"/>
    <n v="10"/>
    <n v="8.57"/>
  </r>
  <r>
    <x v="11"/>
    <n v="12874"/>
    <n v="3.58"/>
    <n v="23.3"/>
    <n v="77.5"/>
    <n v="453"/>
    <n v="65.5"/>
    <n v="161757"/>
    <n v="10"/>
    <n v="10"/>
    <n v="8"/>
    <n v="8"/>
    <n v="7"/>
    <n v="7"/>
    <n v="10"/>
    <n v="8.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G1:H14" firstHeaderRow="1" firstDataRow="1" firstDataCol="1"/>
  <pivotFields count="16">
    <pivotField axis="axisRow" numFmtId="17" showAll="0">
      <items count="13">
        <item x="0"/>
        <item x="1"/>
        <item x="2"/>
        <item x="3"/>
        <item x="4"/>
        <item x="5"/>
        <item x="6"/>
        <item x="7"/>
        <item x="8"/>
        <item x="9"/>
        <item x="10"/>
        <item x="11"/>
        <item t="default"/>
      </items>
    </pivotField>
    <pivotField showAll="0"/>
    <pivotField numFmtId="2" showAll="0"/>
    <pivotField dataField="1" numFmtId="2" showAll="0"/>
    <pivotField numFmtId="2" showAll="0"/>
    <pivotField showAll="0"/>
    <pivotField numFmtId="2" showAll="0"/>
    <pivotField showAll="0"/>
    <pivotField showAll="0"/>
    <pivotField showAll="0"/>
    <pivotField showAll="0"/>
    <pivotField showAll="0"/>
    <pivotField showAll="0"/>
    <pivotField showAll="0"/>
    <pivotField showAll="0"/>
    <pivotField numFmtId="2" showAll="0"/>
  </pivotFields>
  <rowFields count="1">
    <field x="0"/>
  </rowFields>
  <rowItems count="13">
    <i>
      <x/>
    </i>
    <i>
      <x v="1"/>
    </i>
    <i>
      <x v="2"/>
    </i>
    <i>
      <x v="3"/>
    </i>
    <i>
      <x v="4"/>
    </i>
    <i>
      <x v="5"/>
    </i>
    <i>
      <x v="6"/>
    </i>
    <i>
      <x v="7"/>
    </i>
    <i>
      <x v="8"/>
    </i>
    <i>
      <x v="9"/>
    </i>
    <i>
      <x v="10"/>
    </i>
    <i>
      <x v="11"/>
    </i>
    <i t="grand">
      <x/>
    </i>
  </rowItems>
  <colItems count="1">
    <i/>
  </colItems>
  <dataFields count="1">
    <dataField name="Sum of Repeat Purchase Rate (%)" fld="3" baseField="0" baseItem="0" numFmtId="43"/>
  </dataFields>
  <formats count="15">
    <format dxfId="38">
      <pivotArea type="all" dataOnly="0" outline="0" fieldPosition="0"/>
    </format>
    <format dxfId="37">
      <pivotArea outline="0" collapsedLevelsAreSubtotals="1" fieldPosition="0"/>
    </format>
    <format dxfId="36">
      <pivotArea outline="0" collapsedLevelsAreSubtotals="1" fieldPosition="0"/>
    </format>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outline="0" axis="axisValues" fieldPosition="0"/>
    </format>
    <format dxfId="31">
      <pivotArea dataOnly="0" labelOnly="1" fieldPosition="0">
        <references count="1">
          <reference field="0" count="0"/>
        </references>
      </pivotArea>
    </format>
    <format dxfId="30">
      <pivotArea dataOnly="0" labelOnly="1" grandRow="1" outline="0" fieldPosition="0"/>
    </format>
    <format dxfId="29">
      <pivotArea type="all" dataOnly="0" outline="0" fieldPosition="0"/>
    </format>
    <format dxfId="28">
      <pivotArea field="0" type="button" dataOnly="0" labelOnly="1" outline="0" axis="axisRow" fieldPosition="0"/>
    </format>
    <format dxfId="27">
      <pivotArea dataOnly="0" labelOnly="1" outline="0" axis="axisValues" fieldPosition="0"/>
    </format>
    <format dxfId="26">
      <pivotArea dataOnly="0" labelOnly="1" fieldPosition="0">
        <references count="1">
          <reference field="0" count="0"/>
        </references>
      </pivotArea>
    </format>
    <format dxfId="25">
      <pivotArea dataOnly="0" labelOnly="1" grandRow="1" outline="0" fieldPosition="0"/>
    </format>
    <format dxfId="2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D1:E14" firstHeaderRow="1" firstDataRow="1" firstDataCol="1"/>
  <pivotFields count="16">
    <pivotField axis="axisRow" numFmtId="17" showAll="0">
      <items count="13">
        <item x="0"/>
        <item x="1"/>
        <item x="2"/>
        <item x="3"/>
        <item x="4"/>
        <item x="5"/>
        <item x="6"/>
        <item x="7"/>
        <item x="8"/>
        <item x="9"/>
        <item x="10"/>
        <item x="11"/>
        <item t="default"/>
      </items>
    </pivotField>
    <pivotField showAll="0"/>
    <pivotField dataField="1" numFmtId="2" showAll="0"/>
    <pivotField numFmtId="2" showAll="0"/>
    <pivotField numFmtId="2" showAll="0"/>
    <pivotField showAll="0"/>
    <pivotField numFmtId="2" showAll="0"/>
    <pivotField showAll="0"/>
    <pivotField showAll="0"/>
    <pivotField showAll="0"/>
    <pivotField showAll="0"/>
    <pivotField showAll="0"/>
    <pivotField showAll="0"/>
    <pivotField showAll="0"/>
    <pivotField showAll="0"/>
    <pivotField numFmtId="2" showAll="0"/>
  </pivotFields>
  <rowFields count="1">
    <field x="0"/>
  </rowFields>
  <rowItems count="13">
    <i>
      <x/>
    </i>
    <i>
      <x v="1"/>
    </i>
    <i>
      <x v="2"/>
    </i>
    <i>
      <x v="3"/>
    </i>
    <i>
      <x v="4"/>
    </i>
    <i>
      <x v="5"/>
    </i>
    <i>
      <x v="6"/>
    </i>
    <i>
      <x v="7"/>
    </i>
    <i>
      <x v="8"/>
    </i>
    <i>
      <x v="9"/>
    </i>
    <i>
      <x v="10"/>
    </i>
    <i>
      <x v="11"/>
    </i>
    <i t="grand">
      <x/>
    </i>
  </rowItems>
  <colItems count="1">
    <i/>
  </colItems>
  <dataFields count="1">
    <dataField name="Sum of Conversion Rate (%)" fld="2" baseField="0" baseItem="0"/>
  </dataFields>
  <formats count="6">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outline="0" axis="axisValues" fieldPosition="0"/>
    </format>
    <format dxfId="40">
      <pivotArea dataOnly="0" labelOnly="1" fieldPosition="0">
        <references count="1">
          <reference field="0" count="0"/>
        </references>
      </pivotArea>
    </format>
    <format dxfId="39">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B14" firstHeaderRow="1" firstDataRow="1" firstDataCol="1"/>
  <pivotFields count="16">
    <pivotField axis="axisRow" numFmtId="17" showAll="0">
      <items count="13">
        <item x="0"/>
        <item x="1"/>
        <item x="2"/>
        <item x="3"/>
        <item x="4"/>
        <item x="5"/>
        <item x="6"/>
        <item x="7"/>
        <item x="8"/>
        <item x="9"/>
        <item x="10"/>
        <item x="11"/>
        <item t="default"/>
      </items>
    </pivotField>
    <pivotField dataField="1" showAll="0"/>
    <pivotField numFmtId="2" showAll="0"/>
    <pivotField numFmtId="2" showAll="0"/>
    <pivotField numFmtId="2" showAll="0"/>
    <pivotField showAll="0"/>
    <pivotField numFmtId="2" showAll="0"/>
    <pivotField showAll="0"/>
    <pivotField showAll="0"/>
    <pivotField showAll="0"/>
    <pivotField showAll="0"/>
    <pivotField showAll="0"/>
    <pivotField showAll="0"/>
    <pivotField showAll="0"/>
    <pivotField showAll="0"/>
    <pivotField numFmtId="2" showAll="0"/>
  </pivotFields>
  <rowFields count="1">
    <field x="0"/>
  </rowFields>
  <rowItems count="13">
    <i>
      <x/>
    </i>
    <i>
      <x v="1"/>
    </i>
    <i>
      <x v="2"/>
    </i>
    <i>
      <x v="3"/>
    </i>
    <i>
      <x v="4"/>
    </i>
    <i>
      <x v="5"/>
    </i>
    <i>
      <x v="6"/>
    </i>
    <i>
      <x v="7"/>
    </i>
    <i>
      <x v="8"/>
    </i>
    <i>
      <x v="9"/>
    </i>
    <i>
      <x v="10"/>
    </i>
    <i>
      <x v="11"/>
    </i>
    <i t="grand">
      <x/>
    </i>
  </rowItems>
  <colItems count="1">
    <i/>
  </colItems>
  <dataFields count="1">
    <dataField name="Sum of Website Traffic" fld="1" baseField="0" baseItem="0"/>
  </dataFields>
  <formats count="6">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outline="0" axis="axisValues" fieldPosition="0"/>
    </format>
    <format dxfId="46">
      <pivotArea dataOnly="0" labelOnly="1" fieldPosition="0">
        <references count="1">
          <reference field="0" count="0"/>
        </references>
      </pivotArea>
    </format>
    <format dxfId="45">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5" name="PivotTable5"/>
    <pivotTable tabId="5" name="PivotTable6"/>
    <pivotTable tabId="5" name="PivotTable7"/>
  </pivotTables>
  <data>
    <tabular pivotCacheId="2">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1" cache="Slicer_Month" caption="Month" rowHeight="241300"/>
</slicers>
</file>

<file path=xl/tables/table1.xml><?xml version="1.0" encoding="utf-8"?>
<table xmlns="http://schemas.openxmlformats.org/spreadsheetml/2006/main" id="3" name="Table3" displayName="Table3" ref="A1:P14" totalsRowShown="0" headerRowDxfId="51" dataDxfId="52" tableBorderDxfId="60">
  <autoFilter ref="A1:P1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name="Month" dataDxfId="59" totalsRowDxfId="15"/>
    <tableColumn id="2" name="Website Traffic" dataDxfId="58" totalsRowDxfId="14"/>
    <tableColumn id="3" name="Conversion Rate (%)" dataDxfId="57" totalsRowDxfId="13"/>
    <tableColumn id="4" name="Repeat Purchase Rate (%)" dataDxfId="56" totalsRowDxfId="12"/>
    <tableColumn id="5" name="Inventory Available (%)" dataDxfId="55" totalsRowDxfId="11"/>
    <tableColumn id="6" name="Ad Spend Efficiency (₹/Order)" dataDxfId="54" totalsRowDxfId="10"/>
    <tableColumn id="7" name="Operational Capacity (%)" dataDxfId="53" totalsRowDxfId="9"/>
    <tableColumn id="8" name="Cash Flow (₹)" totalsRowDxfId="7"/>
    <tableColumn id="9" name="Website Traffic Score" dataDxfId="16" totalsRowDxfId="6"/>
    <tableColumn id="10" name="Conversion Rate (%) Score" dataDxfId="17" totalsRowDxfId="5"/>
    <tableColumn id="11" name="Repeat Purchase Rate (%) Score" dataDxfId="18" totalsRowDxfId="4"/>
    <tableColumn id="12" name="Inventory Available (%) Score" dataDxfId="19" totalsRowDxfId="3"/>
    <tableColumn id="13" name="Ad Spend Efficiency (₹/Order) Score" dataDxfId="20" totalsRowDxfId="2"/>
    <tableColumn id="14" name="Operational Capacity (%) Score" dataDxfId="21" totalsRowDxfId="1"/>
    <tableColumn id="15" name="Cash Flow (₹) Score" dataDxfId="22" totalsRowDxfId="0"/>
    <tableColumn id="16" name="Average Score" dataDxfId="23" totalsRowDxfId="8"/>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W4"/>
  <sheetViews>
    <sheetView showGridLines="0" tabSelected="1" zoomScale="85" zoomScaleNormal="85" workbookViewId="0"/>
  </sheetViews>
  <sheetFormatPr defaultRowHeight="15" x14ac:dyDescent="0.25"/>
  <sheetData>
    <row r="4" spans="23:23" x14ac:dyDescent="0.25">
      <c r="W4" s="2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workbookViewId="0"/>
  </sheetViews>
  <sheetFormatPr defaultRowHeight="15" x14ac:dyDescent="0.25"/>
  <cols>
    <col min="1" max="1" width="8.28515625" bestFit="1" customWidth="1"/>
    <col min="2" max="2" width="14.7109375" bestFit="1" customWidth="1"/>
    <col min="3" max="3" width="19.140625" bestFit="1" customWidth="1"/>
    <col min="4" max="4" width="24" bestFit="1" customWidth="1"/>
    <col min="5" max="5" width="22.140625" bestFit="1" customWidth="1"/>
    <col min="6" max="6" width="28" bestFit="1" customWidth="1"/>
    <col min="7" max="7" width="23.28515625" bestFit="1" customWidth="1"/>
    <col min="8" max="8" width="12.85546875" bestFit="1" customWidth="1"/>
    <col min="9" max="9" width="20.140625" bestFit="1" customWidth="1"/>
    <col min="10" max="10" width="24.5703125" bestFit="1" customWidth="1"/>
    <col min="11" max="11" width="29.42578125" bestFit="1" customWidth="1"/>
    <col min="12" max="12" width="27.5703125" bestFit="1" customWidth="1"/>
    <col min="13" max="13" width="33.42578125" bestFit="1" customWidth="1"/>
    <col min="14" max="14" width="28.7109375" bestFit="1" customWidth="1"/>
    <col min="15" max="15" width="18.42578125" bestFit="1" customWidth="1"/>
    <col min="16" max="16" width="13.7109375" bestFit="1" customWidth="1"/>
  </cols>
  <sheetData>
    <row r="1" spans="1:16" x14ac:dyDescent="0.25">
      <c r="A1" s="13" t="s">
        <v>0</v>
      </c>
      <c r="B1" s="8" t="s">
        <v>1</v>
      </c>
      <c r="C1" s="8" t="s">
        <v>2</v>
      </c>
      <c r="D1" s="8" t="s">
        <v>3</v>
      </c>
      <c r="E1" s="8" t="s">
        <v>4</v>
      </c>
      <c r="F1" s="8" t="s">
        <v>5</v>
      </c>
      <c r="G1" s="8" t="s">
        <v>6</v>
      </c>
      <c r="H1" s="8" t="s">
        <v>7</v>
      </c>
      <c r="I1" s="8" t="s">
        <v>8</v>
      </c>
      <c r="J1" s="8" t="s">
        <v>9</v>
      </c>
      <c r="K1" s="8" t="s">
        <v>10</v>
      </c>
      <c r="L1" s="8" t="s">
        <v>11</v>
      </c>
      <c r="M1" s="8" t="s">
        <v>12</v>
      </c>
      <c r="N1" s="8" t="s">
        <v>13</v>
      </c>
      <c r="O1" s="8" t="s">
        <v>14</v>
      </c>
      <c r="P1" s="11" t="s">
        <v>15</v>
      </c>
    </row>
    <row r="2" spans="1:16" x14ac:dyDescent="0.25">
      <c r="A2" s="17">
        <v>45474</v>
      </c>
      <c r="B2" s="18">
        <v>9732</v>
      </c>
      <c r="C2" s="10">
        <v>2.59</v>
      </c>
      <c r="D2" s="10">
        <v>30.6</v>
      </c>
      <c r="E2" s="10">
        <v>70.599999999999994</v>
      </c>
      <c r="F2" s="9">
        <v>571</v>
      </c>
      <c r="G2" s="10">
        <v>99.5</v>
      </c>
      <c r="H2" s="9">
        <v>160041</v>
      </c>
      <c r="I2" s="14">
        <v>10</v>
      </c>
      <c r="J2" s="14">
        <v>9</v>
      </c>
      <c r="K2" s="14">
        <v>10</v>
      </c>
      <c r="L2" s="14">
        <v>7</v>
      </c>
      <c r="M2" s="14">
        <v>5</v>
      </c>
      <c r="N2" s="14">
        <v>10</v>
      </c>
      <c r="O2" s="14">
        <v>10</v>
      </c>
      <c r="P2" s="7">
        <v>8.7100000000000009</v>
      </c>
    </row>
    <row r="3" spans="1:16" x14ac:dyDescent="0.25">
      <c r="A3" s="17">
        <v>45505</v>
      </c>
      <c r="B3" s="19">
        <v>9607</v>
      </c>
      <c r="C3" s="7">
        <v>3.73</v>
      </c>
      <c r="D3" s="7">
        <v>32.4</v>
      </c>
      <c r="E3" s="7">
        <v>91</v>
      </c>
      <c r="F3" s="3">
        <v>307</v>
      </c>
      <c r="G3" s="7">
        <v>64.099999999999994</v>
      </c>
      <c r="H3" s="3">
        <v>151331</v>
      </c>
      <c r="I3" s="12">
        <v>10</v>
      </c>
      <c r="J3" s="12">
        <v>10</v>
      </c>
      <c r="K3" s="12">
        <v>10</v>
      </c>
      <c r="L3" s="12">
        <v>10</v>
      </c>
      <c r="M3" s="12">
        <v>10</v>
      </c>
      <c r="N3" s="12">
        <v>7</v>
      </c>
      <c r="O3" s="12">
        <v>10</v>
      </c>
      <c r="P3" s="7">
        <v>9.57</v>
      </c>
    </row>
    <row r="4" spans="1:16" x14ac:dyDescent="0.25">
      <c r="A4" s="17">
        <v>45536</v>
      </c>
      <c r="B4" s="19">
        <v>8653</v>
      </c>
      <c r="C4" s="7">
        <v>3.91</v>
      </c>
      <c r="D4" s="7">
        <v>34.6</v>
      </c>
      <c r="E4" s="7">
        <v>78.2</v>
      </c>
      <c r="F4" s="3">
        <v>541</v>
      </c>
      <c r="G4" s="7">
        <v>68.400000000000006</v>
      </c>
      <c r="H4" s="3">
        <v>130624</v>
      </c>
      <c r="I4" s="12">
        <v>9</v>
      </c>
      <c r="J4" s="12">
        <v>10</v>
      </c>
      <c r="K4" s="12">
        <v>10</v>
      </c>
      <c r="L4" s="12">
        <v>8</v>
      </c>
      <c r="M4" s="12">
        <v>6</v>
      </c>
      <c r="N4" s="12">
        <v>8</v>
      </c>
      <c r="O4" s="12">
        <v>9</v>
      </c>
      <c r="P4" s="7">
        <v>8.57</v>
      </c>
    </row>
    <row r="5" spans="1:16" x14ac:dyDescent="0.25">
      <c r="A5" s="17">
        <v>45566</v>
      </c>
      <c r="B5" s="19">
        <v>10264</v>
      </c>
      <c r="C5" s="7">
        <v>2.46</v>
      </c>
      <c r="D5" s="7">
        <v>31</v>
      </c>
      <c r="E5" s="7">
        <v>82.7</v>
      </c>
      <c r="F5" s="3">
        <v>369</v>
      </c>
      <c r="G5" s="7">
        <v>66.5</v>
      </c>
      <c r="H5" s="3">
        <v>169183</v>
      </c>
      <c r="I5" s="12">
        <v>10</v>
      </c>
      <c r="J5" s="12">
        <v>8</v>
      </c>
      <c r="K5" s="12">
        <v>10</v>
      </c>
      <c r="L5" s="12">
        <v>9</v>
      </c>
      <c r="M5" s="12">
        <v>8</v>
      </c>
      <c r="N5" s="12">
        <v>7</v>
      </c>
      <c r="O5" s="12">
        <v>10</v>
      </c>
      <c r="P5" s="7">
        <v>8.86</v>
      </c>
    </row>
    <row r="6" spans="1:16" x14ac:dyDescent="0.25">
      <c r="A6" s="17">
        <v>45597</v>
      </c>
      <c r="B6" s="19">
        <v>11931</v>
      </c>
      <c r="C6" s="7">
        <v>3.48</v>
      </c>
      <c r="D6" s="7">
        <v>24.2</v>
      </c>
      <c r="E6" s="7">
        <v>60.8</v>
      </c>
      <c r="F6" s="3">
        <v>517</v>
      </c>
      <c r="G6" s="7">
        <v>86.1</v>
      </c>
      <c r="H6" s="3">
        <v>120133</v>
      </c>
      <c r="I6" s="12">
        <v>10</v>
      </c>
      <c r="J6" s="12">
        <v>10</v>
      </c>
      <c r="K6" s="12">
        <v>8</v>
      </c>
      <c r="L6" s="12">
        <v>6</v>
      </c>
      <c r="M6" s="12">
        <v>6</v>
      </c>
      <c r="N6" s="12">
        <v>10</v>
      </c>
      <c r="O6" s="12">
        <v>8</v>
      </c>
      <c r="P6" s="7">
        <v>8.2899999999999991</v>
      </c>
    </row>
    <row r="7" spans="1:16" x14ac:dyDescent="0.25">
      <c r="A7" s="17">
        <v>45627</v>
      </c>
      <c r="B7" s="19">
        <v>11859</v>
      </c>
      <c r="C7" s="7">
        <v>2.82</v>
      </c>
      <c r="D7" s="7">
        <v>30.6</v>
      </c>
      <c r="E7" s="7">
        <v>84.7</v>
      </c>
      <c r="F7" s="3">
        <v>332</v>
      </c>
      <c r="G7" s="7">
        <v>70.099999999999994</v>
      </c>
      <c r="H7" s="3">
        <v>173790</v>
      </c>
      <c r="I7" s="12">
        <v>10</v>
      </c>
      <c r="J7" s="12">
        <v>9</v>
      </c>
      <c r="K7" s="12">
        <v>10</v>
      </c>
      <c r="L7" s="12">
        <v>9</v>
      </c>
      <c r="M7" s="12">
        <v>9</v>
      </c>
      <c r="N7" s="12">
        <v>8</v>
      </c>
      <c r="O7" s="12">
        <v>10</v>
      </c>
      <c r="P7" s="7">
        <v>9.2899999999999991</v>
      </c>
    </row>
    <row r="8" spans="1:16" x14ac:dyDescent="0.25">
      <c r="A8" s="17">
        <v>45658</v>
      </c>
      <c r="B8" s="19">
        <v>12827</v>
      </c>
      <c r="C8" s="7">
        <v>2.92</v>
      </c>
      <c r="D8" s="7">
        <v>17.399999999999999</v>
      </c>
      <c r="E8" s="7">
        <v>84.5</v>
      </c>
      <c r="F8" s="3">
        <v>341</v>
      </c>
      <c r="G8" s="7">
        <v>78.7</v>
      </c>
      <c r="H8" s="3">
        <v>186752</v>
      </c>
      <c r="I8" s="12">
        <v>10</v>
      </c>
      <c r="J8" s="12">
        <v>10</v>
      </c>
      <c r="K8" s="12">
        <v>6</v>
      </c>
      <c r="L8" s="12">
        <v>9</v>
      </c>
      <c r="M8" s="12">
        <v>9</v>
      </c>
      <c r="N8" s="12">
        <v>9</v>
      </c>
      <c r="O8" s="12">
        <v>10</v>
      </c>
      <c r="P8" s="7">
        <v>9</v>
      </c>
    </row>
    <row r="9" spans="1:16" x14ac:dyDescent="0.25">
      <c r="A9" s="17">
        <v>45689</v>
      </c>
      <c r="B9" s="19">
        <v>14527</v>
      </c>
      <c r="C9" s="7">
        <v>3.81</v>
      </c>
      <c r="D9" s="7">
        <v>27.8</v>
      </c>
      <c r="E9" s="7">
        <v>84.7</v>
      </c>
      <c r="F9" s="3">
        <v>349</v>
      </c>
      <c r="G9" s="7">
        <v>69.8</v>
      </c>
      <c r="H9" s="3">
        <v>135153</v>
      </c>
      <c r="I9" s="12">
        <v>10</v>
      </c>
      <c r="J9" s="12">
        <v>10</v>
      </c>
      <c r="K9" s="12">
        <v>9</v>
      </c>
      <c r="L9" s="12">
        <v>9</v>
      </c>
      <c r="M9" s="12">
        <v>9</v>
      </c>
      <c r="N9" s="12">
        <v>8</v>
      </c>
      <c r="O9" s="12">
        <v>9</v>
      </c>
      <c r="P9" s="7">
        <v>9.14</v>
      </c>
    </row>
    <row r="10" spans="1:16" x14ac:dyDescent="0.25">
      <c r="A10" s="17">
        <v>45717</v>
      </c>
      <c r="B10" s="19">
        <v>8033</v>
      </c>
      <c r="C10" s="7">
        <v>1.68</v>
      </c>
      <c r="D10" s="7">
        <v>17.899999999999999</v>
      </c>
      <c r="E10" s="7">
        <v>97.7</v>
      </c>
      <c r="F10" s="3">
        <v>303</v>
      </c>
      <c r="G10" s="7">
        <v>66.400000000000006</v>
      </c>
      <c r="H10" s="3">
        <v>182066</v>
      </c>
      <c r="I10" s="12">
        <v>8</v>
      </c>
      <c r="J10" s="12">
        <v>6</v>
      </c>
      <c r="K10" s="12">
        <v>6</v>
      </c>
      <c r="L10" s="12">
        <v>10</v>
      </c>
      <c r="M10" s="12">
        <v>10</v>
      </c>
      <c r="N10" s="12">
        <v>7</v>
      </c>
      <c r="O10" s="12">
        <v>10</v>
      </c>
      <c r="P10" s="7">
        <v>8.14</v>
      </c>
    </row>
    <row r="11" spans="1:16" x14ac:dyDescent="0.25">
      <c r="A11" s="17">
        <v>45748</v>
      </c>
      <c r="B11" s="19">
        <v>14891</v>
      </c>
      <c r="C11" s="7">
        <v>1.72</v>
      </c>
      <c r="D11" s="7">
        <v>33.9</v>
      </c>
      <c r="E11" s="7">
        <v>87.3</v>
      </c>
      <c r="F11" s="3">
        <v>371</v>
      </c>
      <c r="G11" s="7">
        <v>64.400000000000006</v>
      </c>
      <c r="H11" s="3">
        <v>142756</v>
      </c>
      <c r="I11" s="12">
        <v>10</v>
      </c>
      <c r="J11" s="12">
        <v>6</v>
      </c>
      <c r="K11" s="12">
        <v>10</v>
      </c>
      <c r="L11" s="12">
        <v>9</v>
      </c>
      <c r="M11" s="12">
        <v>8</v>
      </c>
      <c r="N11" s="12">
        <v>7</v>
      </c>
      <c r="O11" s="12">
        <v>10</v>
      </c>
      <c r="P11" s="7">
        <v>8.57</v>
      </c>
    </row>
    <row r="12" spans="1:16" x14ac:dyDescent="0.25">
      <c r="A12" s="17">
        <v>45778</v>
      </c>
      <c r="B12" s="19">
        <v>11373</v>
      </c>
      <c r="C12" s="7">
        <v>1.55</v>
      </c>
      <c r="D12" s="7">
        <v>25.4</v>
      </c>
      <c r="E12" s="7">
        <v>74.400000000000006</v>
      </c>
      <c r="F12" s="3">
        <v>334</v>
      </c>
      <c r="G12" s="7">
        <v>86.3</v>
      </c>
      <c r="H12" s="3">
        <v>170928</v>
      </c>
      <c r="I12" s="12">
        <v>10</v>
      </c>
      <c r="J12" s="12">
        <v>5</v>
      </c>
      <c r="K12" s="12">
        <v>8</v>
      </c>
      <c r="L12" s="12">
        <v>8</v>
      </c>
      <c r="M12" s="12">
        <v>9</v>
      </c>
      <c r="N12" s="12">
        <v>10</v>
      </c>
      <c r="O12" s="12">
        <v>10</v>
      </c>
      <c r="P12" s="7">
        <v>8.57</v>
      </c>
    </row>
    <row r="13" spans="1:16" x14ac:dyDescent="0.25">
      <c r="A13" s="17">
        <v>45809</v>
      </c>
      <c r="B13" s="20">
        <v>12874</v>
      </c>
      <c r="C13" s="5">
        <v>3.58</v>
      </c>
      <c r="D13" s="5">
        <v>23.3</v>
      </c>
      <c r="E13" s="5">
        <v>77.5</v>
      </c>
      <c r="F13" s="4">
        <v>453</v>
      </c>
      <c r="G13" s="5">
        <v>65.5</v>
      </c>
      <c r="H13" s="4">
        <v>161757</v>
      </c>
      <c r="I13" s="6">
        <v>10</v>
      </c>
      <c r="J13" s="6">
        <v>10</v>
      </c>
      <c r="K13" s="6">
        <v>8</v>
      </c>
      <c r="L13" s="6">
        <v>8</v>
      </c>
      <c r="M13" s="6">
        <v>7</v>
      </c>
      <c r="N13" s="6">
        <v>7</v>
      </c>
      <c r="O13" s="6">
        <v>10</v>
      </c>
      <c r="P13" s="5">
        <v>8.57</v>
      </c>
    </row>
    <row r="14" spans="1:16" x14ac:dyDescent="0.25">
      <c r="A14" s="25" t="s">
        <v>21</v>
      </c>
      <c r="B14" s="26">
        <f>AVERAGE(B2:B13)</f>
        <v>11380.916666666666</v>
      </c>
      <c r="C14" s="27">
        <f t="shared" ref="C14:P14" si="0">AVERAGE(C2:C13)</f>
        <v>2.8541666666666665</v>
      </c>
      <c r="D14" s="27">
        <f t="shared" si="0"/>
        <v>27.424999999999997</v>
      </c>
      <c r="E14" s="27">
        <f t="shared" si="0"/>
        <v>81.174999999999997</v>
      </c>
      <c r="F14" s="26">
        <f t="shared" si="0"/>
        <v>399</v>
      </c>
      <c r="G14" s="27">
        <f t="shared" si="0"/>
        <v>73.816666666666663</v>
      </c>
      <c r="H14" s="26">
        <f t="shared" si="0"/>
        <v>157042.83333333334</v>
      </c>
      <c r="I14" s="26">
        <f t="shared" si="0"/>
        <v>9.75</v>
      </c>
      <c r="J14" s="26">
        <f t="shared" si="0"/>
        <v>8.5833333333333339</v>
      </c>
      <c r="K14" s="26">
        <f t="shared" si="0"/>
        <v>8.75</v>
      </c>
      <c r="L14" s="26">
        <f t="shared" si="0"/>
        <v>8.5</v>
      </c>
      <c r="M14" s="26">
        <f t="shared" si="0"/>
        <v>8</v>
      </c>
      <c r="N14" s="26">
        <f t="shared" si="0"/>
        <v>8.1666666666666661</v>
      </c>
      <c r="O14" s="26">
        <f t="shared" si="0"/>
        <v>9.6666666666666661</v>
      </c>
      <c r="P14" s="27">
        <f t="shared" si="0"/>
        <v>8.7733333333333334</v>
      </c>
    </row>
  </sheetData>
  <conditionalFormatting sqref="I2:I13">
    <cfRule type="colorScale" priority="10">
      <colorScale>
        <cfvo type="min"/>
        <cfvo type="percentile" val="50"/>
        <cfvo type="max"/>
        <color rgb="FFF8696B"/>
        <color rgb="FFFFEB84"/>
        <color rgb="FF63BE7B"/>
      </colorScale>
    </cfRule>
  </conditionalFormatting>
  <conditionalFormatting sqref="J2:J13">
    <cfRule type="colorScale" priority="11">
      <colorScale>
        <cfvo type="min"/>
        <cfvo type="percentile" val="50"/>
        <cfvo type="max"/>
        <color rgb="FFF8696B"/>
        <color rgb="FFFFEB84"/>
        <color rgb="FF63BE7B"/>
      </colorScale>
    </cfRule>
  </conditionalFormatting>
  <conditionalFormatting sqref="K2:K13">
    <cfRule type="colorScale" priority="12">
      <colorScale>
        <cfvo type="min"/>
        <cfvo type="percentile" val="50"/>
        <cfvo type="max"/>
        <color rgb="FFF8696B"/>
        <color rgb="FFFFEB84"/>
        <color rgb="FF63BE7B"/>
      </colorScale>
    </cfRule>
  </conditionalFormatting>
  <conditionalFormatting sqref="L2:L13">
    <cfRule type="colorScale" priority="13">
      <colorScale>
        <cfvo type="min"/>
        <cfvo type="percentile" val="50"/>
        <cfvo type="max"/>
        <color rgb="FFF8696B"/>
        <color rgb="FFFFEB84"/>
        <color rgb="FF63BE7B"/>
      </colorScale>
    </cfRule>
  </conditionalFormatting>
  <conditionalFormatting sqref="M2:M13">
    <cfRule type="colorScale" priority="14">
      <colorScale>
        <cfvo type="min"/>
        <cfvo type="percentile" val="50"/>
        <cfvo type="max"/>
        <color rgb="FFF8696B"/>
        <color rgb="FFFFEB84"/>
        <color rgb="FF63BE7B"/>
      </colorScale>
    </cfRule>
  </conditionalFormatting>
  <conditionalFormatting sqref="N2:N13">
    <cfRule type="colorScale" priority="15">
      <colorScale>
        <cfvo type="min"/>
        <cfvo type="percentile" val="50"/>
        <cfvo type="max"/>
        <color rgb="FFF8696B"/>
        <color rgb="FFFFEB84"/>
        <color rgb="FF63BE7B"/>
      </colorScale>
    </cfRule>
  </conditionalFormatting>
  <conditionalFormatting sqref="O2:O13">
    <cfRule type="colorScale" priority="16">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heetViews>
  <sheetFormatPr defaultRowHeight="15" x14ac:dyDescent="0.25"/>
  <cols>
    <col min="1" max="1" width="15.42578125" bestFit="1" customWidth="1"/>
    <col min="2" max="2" width="21.5703125" bestFit="1" customWidth="1"/>
    <col min="4" max="4" width="15.42578125" bestFit="1" customWidth="1"/>
    <col min="5" max="5" width="26" bestFit="1" customWidth="1"/>
    <col min="7" max="7" width="15.42578125" bestFit="1" customWidth="1"/>
    <col min="8" max="8" width="30.85546875" bestFit="1" customWidth="1"/>
  </cols>
  <sheetData>
    <row r="1" spans="1:8" x14ac:dyDescent="0.25">
      <c r="A1" s="15" t="s">
        <v>17</v>
      </c>
      <c r="B1" s="2" t="s">
        <v>18</v>
      </c>
      <c r="D1" s="15" t="s">
        <v>17</v>
      </c>
      <c r="E1" s="2" t="s">
        <v>19</v>
      </c>
      <c r="G1" s="21" t="s">
        <v>17</v>
      </c>
      <c r="H1" s="22" t="s">
        <v>20</v>
      </c>
    </row>
    <row r="2" spans="1:8" x14ac:dyDescent="0.25">
      <c r="A2" s="17">
        <v>45474</v>
      </c>
      <c r="B2" s="16">
        <v>9732</v>
      </c>
      <c r="D2" s="17">
        <v>45474</v>
      </c>
      <c r="E2" s="16">
        <v>2.59</v>
      </c>
      <c r="G2" s="23">
        <v>45474</v>
      </c>
      <c r="H2" s="24">
        <v>30.6</v>
      </c>
    </row>
    <row r="3" spans="1:8" x14ac:dyDescent="0.25">
      <c r="A3" s="17">
        <v>45505</v>
      </c>
      <c r="B3" s="16">
        <v>9607</v>
      </c>
      <c r="D3" s="17">
        <v>45505</v>
      </c>
      <c r="E3" s="16">
        <v>3.73</v>
      </c>
      <c r="G3" s="23">
        <v>45505</v>
      </c>
      <c r="H3" s="24">
        <v>32.4</v>
      </c>
    </row>
    <row r="4" spans="1:8" x14ac:dyDescent="0.25">
      <c r="A4" s="17">
        <v>45536</v>
      </c>
      <c r="B4" s="16">
        <v>8653</v>
      </c>
      <c r="D4" s="17">
        <v>45536</v>
      </c>
      <c r="E4" s="16">
        <v>3.91</v>
      </c>
      <c r="G4" s="23">
        <v>45536</v>
      </c>
      <c r="H4" s="24">
        <v>34.6</v>
      </c>
    </row>
    <row r="5" spans="1:8" x14ac:dyDescent="0.25">
      <c r="A5" s="17">
        <v>45566</v>
      </c>
      <c r="B5" s="16">
        <v>10264</v>
      </c>
      <c r="D5" s="17">
        <v>45566</v>
      </c>
      <c r="E5" s="16">
        <v>2.46</v>
      </c>
      <c r="G5" s="23">
        <v>45566</v>
      </c>
      <c r="H5" s="24">
        <v>31</v>
      </c>
    </row>
    <row r="6" spans="1:8" x14ac:dyDescent="0.25">
      <c r="A6" s="17">
        <v>45597</v>
      </c>
      <c r="B6" s="16">
        <v>11931</v>
      </c>
      <c r="D6" s="17">
        <v>45597</v>
      </c>
      <c r="E6" s="16">
        <v>3.48</v>
      </c>
      <c r="G6" s="23">
        <v>45597</v>
      </c>
      <c r="H6" s="24">
        <v>24.2</v>
      </c>
    </row>
    <row r="7" spans="1:8" x14ac:dyDescent="0.25">
      <c r="A7" s="17">
        <v>45627</v>
      </c>
      <c r="B7" s="16">
        <v>11859</v>
      </c>
      <c r="D7" s="17">
        <v>45627</v>
      </c>
      <c r="E7" s="16">
        <v>2.82</v>
      </c>
      <c r="G7" s="23">
        <v>45627</v>
      </c>
      <c r="H7" s="24">
        <v>30.6</v>
      </c>
    </row>
    <row r="8" spans="1:8" x14ac:dyDescent="0.25">
      <c r="A8" s="17">
        <v>45658</v>
      </c>
      <c r="B8" s="16">
        <v>12827</v>
      </c>
      <c r="D8" s="17">
        <v>45658</v>
      </c>
      <c r="E8" s="16">
        <v>2.92</v>
      </c>
      <c r="G8" s="23">
        <v>45658</v>
      </c>
      <c r="H8" s="24">
        <v>17.399999999999999</v>
      </c>
    </row>
    <row r="9" spans="1:8" x14ac:dyDescent="0.25">
      <c r="A9" s="17">
        <v>45689</v>
      </c>
      <c r="B9" s="16">
        <v>14527</v>
      </c>
      <c r="D9" s="17">
        <v>45689</v>
      </c>
      <c r="E9" s="16">
        <v>3.81</v>
      </c>
      <c r="G9" s="23">
        <v>45689</v>
      </c>
      <c r="H9" s="24">
        <v>27.8</v>
      </c>
    </row>
    <row r="10" spans="1:8" x14ac:dyDescent="0.25">
      <c r="A10" s="17">
        <v>45717</v>
      </c>
      <c r="B10" s="16">
        <v>8033</v>
      </c>
      <c r="D10" s="17">
        <v>45717</v>
      </c>
      <c r="E10" s="16">
        <v>1.68</v>
      </c>
      <c r="G10" s="23">
        <v>45717</v>
      </c>
      <c r="H10" s="24">
        <v>17.899999999999999</v>
      </c>
    </row>
    <row r="11" spans="1:8" x14ac:dyDescent="0.25">
      <c r="A11" s="17">
        <v>45748</v>
      </c>
      <c r="B11" s="16">
        <v>14891</v>
      </c>
      <c r="D11" s="17">
        <v>45748</v>
      </c>
      <c r="E11" s="16">
        <v>1.72</v>
      </c>
      <c r="G11" s="23">
        <v>45748</v>
      </c>
      <c r="H11" s="24">
        <v>33.9</v>
      </c>
    </row>
    <row r="12" spans="1:8" x14ac:dyDescent="0.25">
      <c r="A12" s="17">
        <v>45778</v>
      </c>
      <c r="B12" s="16">
        <v>11373</v>
      </c>
      <c r="D12" s="17">
        <v>45778</v>
      </c>
      <c r="E12" s="16">
        <v>1.55</v>
      </c>
      <c r="G12" s="23">
        <v>45778</v>
      </c>
      <c r="H12" s="24">
        <v>25.4</v>
      </c>
    </row>
    <row r="13" spans="1:8" x14ac:dyDescent="0.25">
      <c r="A13" s="17">
        <v>45809</v>
      </c>
      <c r="B13" s="16">
        <v>12874</v>
      </c>
      <c r="D13" s="17">
        <v>45809</v>
      </c>
      <c r="E13" s="16">
        <v>3.58</v>
      </c>
      <c r="G13" s="23">
        <v>45809</v>
      </c>
      <c r="H13" s="24">
        <v>23.3</v>
      </c>
    </row>
    <row r="14" spans="1:8" x14ac:dyDescent="0.25">
      <c r="A14" s="17" t="s">
        <v>16</v>
      </c>
      <c r="B14" s="16">
        <v>136571</v>
      </c>
      <c r="D14" s="17" t="s">
        <v>16</v>
      </c>
      <c r="E14" s="16">
        <v>34.25</v>
      </c>
      <c r="G14" s="23" t="s">
        <v>16</v>
      </c>
      <c r="H14" s="24">
        <v>329.09999999999997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workbookViewId="0"/>
  </sheetViews>
  <sheetFormatPr defaultRowHeight="15" x14ac:dyDescent="0.25"/>
  <cols>
    <col min="2" max="2" width="14.7109375" bestFit="1" customWidth="1"/>
    <col min="3" max="3" width="19.140625" bestFit="1" customWidth="1"/>
    <col min="4" max="4" width="24" bestFit="1" customWidth="1"/>
    <col min="5" max="5" width="22.140625" bestFit="1" customWidth="1"/>
    <col min="6" max="6" width="28" bestFit="1" customWidth="1"/>
    <col min="7" max="7" width="23.28515625" bestFit="1" customWidth="1"/>
    <col min="8" max="8" width="12.85546875" bestFit="1" customWidth="1"/>
  </cols>
  <sheetData>
    <row r="1" spans="1:8" x14ac:dyDescent="0.25">
      <c r="A1" s="1" t="s">
        <v>0</v>
      </c>
      <c r="B1" s="1" t="s">
        <v>1</v>
      </c>
      <c r="C1" s="1" t="s">
        <v>2</v>
      </c>
      <c r="D1" s="1" t="s">
        <v>3</v>
      </c>
      <c r="E1" s="1" t="s">
        <v>4</v>
      </c>
      <c r="F1" s="1" t="s">
        <v>5</v>
      </c>
      <c r="G1" s="1" t="s">
        <v>6</v>
      </c>
      <c r="H1" s="1" t="s">
        <v>7</v>
      </c>
    </row>
    <row r="2" spans="1:8" x14ac:dyDescent="0.25">
      <c r="A2" s="17">
        <v>45474</v>
      </c>
      <c r="B2" s="2">
        <v>9732</v>
      </c>
      <c r="C2" s="2">
        <v>2.59</v>
      </c>
      <c r="D2" s="2">
        <v>30.6</v>
      </c>
      <c r="E2" s="2">
        <v>70.599999999999994</v>
      </c>
      <c r="F2" s="2">
        <v>571</v>
      </c>
      <c r="G2" s="2">
        <v>99.5</v>
      </c>
      <c r="H2" s="2">
        <v>160041</v>
      </c>
    </row>
    <row r="3" spans="1:8" x14ac:dyDescent="0.25">
      <c r="A3" s="17">
        <v>45505</v>
      </c>
      <c r="B3" s="2">
        <v>9607</v>
      </c>
      <c r="C3" s="2">
        <v>3.73</v>
      </c>
      <c r="D3" s="2">
        <v>32.4</v>
      </c>
      <c r="E3" s="2">
        <v>91</v>
      </c>
      <c r="F3" s="2">
        <v>307</v>
      </c>
      <c r="G3" s="2">
        <v>64.099999999999994</v>
      </c>
      <c r="H3" s="2">
        <v>151331</v>
      </c>
    </row>
    <row r="4" spans="1:8" x14ac:dyDescent="0.25">
      <c r="A4" s="17">
        <v>45536</v>
      </c>
      <c r="B4" s="2">
        <v>8653</v>
      </c>
      <c r="C4" s="2">
        <v>3.91</v>
      </c>
      <c r="D4" s="2">
        <v>34.6</v>
      </c>
      <c r="E4" s="2">
        <v>78.2</v>
      </c>
      <c r="F4" s="2">
        <v>541</v>
      </c>
      <c r="G4" s="2">
        <v>68.400000000000006</v>
      </c>
      <c r="H4" s="2">
        <v>130624</v>
      </c>
    </row>
    <row r="5" spans="1:8" x14ac:dyDescent="0.25">
      <c r="A5" s="17">
        <v>45566</v>
      </c>
      <c r="B5" s="2">
        <v>10264</v>
      </c>
      <c r="C5" s="2">
        <v>2.46</v>
      </c>
      <c r="D5" s="2">
        <v>31</v>
      </c>
      <c r="E5" s="2">
        <v>82.7</v>
      </c>
      <c r="F5" s="2">
        <v>369</v>
      </c>
      <c r="G5" s="2">
        <v>66.5</v>
      </c>
      <c r="H5" s="2">
        <v>169183</v>
      </c>
    </row>
    <row r="6" spans="1:8" x14ac:dyDescent="0.25">
      <c r="A6" s="17">
        <v>45597</v>
      </c>
      <c r="B6" s="2">
        <v>11931</v>
      </c>
      <c r="C6" s="2">
        <v>3.48</v>
      </c>
      <c r="D6" s="2">
        <v>24.2</v>
      </c>
      <c r="E6" s="2">
        <v>60.8</v>
      </c>
      <c r="F6" s="2">
        <v>517</v>
      </c>
      <c r="G6" s="2">
        <v>86.1</v>
      </c>
      <c r="H6" s="2">
        <v>120133</v>
      </c>
    </row>
    <row r="7" spans="1:8" x14ac:dyDescent="0.25">
      <c r="A7" s="17">
        <v>45627</v>
      </c>
      <c r="B7" s="2">
        <v>11859</v>
      </c>
      <c r="C7" s="2">
        <v>2.82</v>
      </c>
      <c r="D7" s="2">
        <v>30.6</v>
      </c>
      <c r="E7" s="2">
        <v>84.7</v>
      </c>
      <c r="F7" s="2">
        <v>332</v>
      </c>
      <c r="G7" s="2">
        <v>70.099999999999994</v>
      </c>
      <c r="H7" s="2">
        <v>173790</v>
      </c>
    </row>
    <row r="8" spans="1:8" x14ac:dyDescent="0.25">
      <c r="A8" s="17">
        <v>45658</v>
      </c>
      <c r="B8" s="2">
        <v>12827</v>
      </c>
      <c r="C8" s="2">
        <v>2.92</v>
      </c>
      <c r="D8" s="2">
        <v>17.399999999999999</v>
      </c>
      <c r="E8" s="2">
        <v>84.5</v>
      </c>
      <c r="F8" s="2">
        <v>341</v>
      </c>
      <c r="G8" s="2">
        <v>78.7</v>
      </c>
      <c r="H8" s="2">
        <v>186752</v>
      </c>
    </row>
    <row r="9" spans="1:8" x14ac:dyDescent="0.25">
      <c r="A9" s="17">
        <v>45689</v>
      </c>
      <c r="B9" s="2">
        <v>14527</v>
      </c>
      <c r="C9" s="2">
        <v>3.81</v>
      </c>
      <c r="D9" s="2">
        <v>27.8</v>
      </c>
      <c r="E9" s="2">
        <v>84.7</v>
      </c>
      <c r="F9" s="2">
        <v>349</v>
      </c>
      <c r="G9" s="2">
        <v>69.8</v>
      </c>
      <c r="H9" s="2">
        <v>135153</v>
      </c>
    </row>
    <row r="10" spans="1:8" x14ac:dyDescent="0.25">
      <c r="A10" s="17">
        <v>45717</v>
      </c>
      <c r="B10" s="2">
        <v>8033</v>
      </c>
      <c r="C10" s="2">
        <v>1.68</v>
      </c>
      <c r="D10" s="2">
        <v>17.899999999999999</v>
      </c>
      <c r="E10" s="2">
        <v>97.7</v>
      </c>
      <c r="F10" s="2">
        <v>303</v>
      </c>
      <c r="G10" s="2">
        <v>66.400000000000006</v>
      </c>
      <c r="H10" s="2">
        <v>182066</v>
      </c>
    </row>
    <row r="11" spans="1:8" x14ac:dyDescent="0.25">
      <c r="A11" s="17">
        <v>45748</v>
      </c>
      <c r="B11" s="2">
        <v>14891</v>
      </c>
      <c r="C11" s="2">
        <v>1.72</v>
      </c>
      <c r="D11" s="2">
        <v>33.9</v>
      </c>
      <c r="E11" s="2">
        <v>87.3</v>
      </c>
      <c r="F11" s="2">
        <v>371</v>
      </c>
      <c r="G11" s="2">
        <v>64.400000000000006</v>
      </c>
      <c r="H11" s="2">
        <v>142756</v>
      </c>
    </row>
    <row r="12" spans="1:8" x14ac:dyDescent="0.25">
      <c r="A12" s="17">
        <v>45778</v>
      </c>
      <c r="B12" s="2">
        <v>11373</v>
      </c>
      <c r="C12" s="2">
        <v>1.55</v>
      </c>
      <c r="D12" s="2">
        <v>25.4</v>
      </c>
      <c r="E12" s="2">
        <v>74.400000000000006</v>
      </c>
      <c r="F12" s="2">
        <v>334</v>
      </c>
      <c r="G12" s="2">
        <v>86.3</v>
      </c>
      <c r="H12" s="2">
        <v>170928</v>
      </c>
    </row>
    <row r="13" spans="1:8" x14ac:dyDescent="0.25">
      <c r="A13" s="17">
        <v>45809</v>
      </c>
      <c r="B13" s="2">
        <v>12874</v>
      </c>
      <c r="C13" s="2">
        <v>3.58</v>
      </c>
      <c r="D13" s="2">
        <v>23.3</v>
      </c>
      <c r="E13" s="2">
        <v>77.5</v>
      </c>
      <c r="F13" s="2">
        <v>453</v>
      </c>
      <c r="G13" s="2">
        <v>65.5</v>
      </c>
      <c r="H13" s="2">
        <v>161757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Tracker</vt:lpstr>
      <vt:lpstr>Pivot</vt:lpstr>
      <vt:lpstr>Raw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2025-07-12T07:20:13Z</dcterms:created>
  <dcterms:modified xsi:type="dcterms:W3CDTF">2025-07-12T10:06:55Z</dcterms:modified>
</cp:coreProperties>
</file>